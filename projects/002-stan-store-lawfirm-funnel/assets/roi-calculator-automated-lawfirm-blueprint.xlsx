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r Firm Profile" sheetId="1" state="visible" r:id="rId1"/>
    <sheet name="Phase-by-Phase ROI" sheetId="2" state="visible" r:id="rId2"/>
    <sheet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0.0&quot;x&quot;"/>
  </numFmts>
  <fonts count="11">
    <font>
      <name val="Calibri"/>
      <family val="2"/>
      <color theme="1"/>
      <sz val="11"/>
      <scheme val="minor"/>
    </font>
    <font>
      <name val="Inter"/>
      <b val="1"/>
      <color rgb="00F0F0F0"/>
      <sz val="14"/>
    </font>
    <font>
      <name val="Inter"/>
      <b val="1"/>
      <color rgb="00F0F0F0"/>
      <sz val="10"/>
    </font>
    <font>
      <name val="Inter"/>
      <b val="1"/>
      <color rgb="0000BFFF"/>
      <sz val="10"/>
    </font>
    <font>
      <name val="Inter"/>
      <b val="1"/>
      <color rgb="00F0F0F0"/>
      <sz val="11"/>
    </font>
    <font>
      <name val="Inter"/>
      <b val="1"/>
      <sz val="10"/>
    </font>
    <font>
      <name val="Inter"/>
      <i val="1"/>
      <color rgb="00666666"/>
      <sz val="9"/>
    </font>
    <font>
      <name val="Inter"/>
      <b val="1"/>
      <sz val="11"/>
    </font>
    <font>
      <name val="Inter"/>
      <sz val="10"/>
    </font>
    <font>
      <name val="Inter"/>
      <b val="1"/>
      <sz val="12"/>
    </font>
    <font>
      <name val="Inter"/>
      <b val="1"/>
      <i val="1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333333"/>
        <bgColor rgb="00333333"/>
      </patternFill>
    </fill>
    <fill>
      <patternFill patternType="solid">
        <fgColor rgb="002A2A2A"/>
        <bgColor rgb="002A2A2A"/>
      </patternFill>
    </fill>
    <fill>
      <patternFill patternType="solid">
        <fgColor rgb="00FFF9E6"/>
        <bgColor rgb="00FFF9E6"/>
      </patternFill>
    </fill>
    <fill>
      <patternFill patternType="solid">
        <fgColor rgb="00E6F7E6"/>
        <bgColor rgb="00E6F7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0" fillId="5" borderId="1" applyAlignment="1" pivotButton="0" quotePrefix="0" xfId="0">
      <alignment horizontal="center"/>
    </xf>
    <xf numFmtId="0" fontId="6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165" fontId="7" fillId="6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9" fillId="6" borderId="0" pivotButton="0" quotePrefix="0" xfId="0"/>
    <xf numFmtId="166" fontId="0" fillId="0" borderId="0" pivotButton="0" quotePrefix="0" xfId="0"/>
    <xf numFmtId="165" fontId="8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ROI Calculator</author>
  </authors>
  <commentList>
    <comment ref="A5" authorId="0" shapeId="0">
      <text>
        <t>Your standard hourly billing rate in dollars.
Example: If you bill $275/hour, enter 275.
This is used to calculate the dollar value of recovered time.</t>
      </text>
    </comment>
    <comment ref="B5" authorId="0" shapeId="0">
      <text>
        <t>Your standard hourly billing rate in dollars.
Example: If you bill $275/hour, enter 275.
This is used to calculate the dollar value of recovered time.</t>
      </text>
    </comment>
    <comment ref="A6" authorId="0" shapeId="0">
      <text>
        <t>Total number of attorneys at your firm (partners + associates).
Paralegals are NOT included.
Used to multiply per-attorney time savings across the firm.</t>
      </text>
    </comment>
    <comment ref="B6" authorId="0" shapeId="0">
      <text>
        <t>Total number of attorneys at your firm (partners + associates).
Paralegals are NOT included.
Used to multiply per-attorney time savings across the firm.</t>
      </text>
    </comment>
    <comment ref="A7" authorId="0" shapeId="0">
      <text>
        <t>Average total revenue you collect per case from start to close.
Include all fees (retainer + hourly + flat fee).
Example: If a typical bankruptcy case brings in $3,000, enter 3000.</t>
      </text>
    </comment>
    <comment ref="B7" authorId="0" shapeId="0">
      <text>
        <t>Average total revenue you collect per case from start to close.
Include all fees (retainer + hourly + flat fee).
Example: If a typical bankruptcy case brings in $3,000, enter 3000.</t>
      </text>
    </comment>
    <comment ref="A8" authorId="0" shapeId="0">
      <text>
        <t>What percentage of your attorneys' billable work actually gets invoiced?
Industry average is 70-85%. Top firms hit 90-95%.
Enter as a whole number: 91 means 91%.
The 'missing' percentage is billing leakage — work done but never billed.</t>
      </text>
    </comment>
    <comment ref="B8" authorId="0" shapeId="0">
      <text>
        <t>What percentage of your attorneys' billable work actually gets invoiced?
Industry average is 70-85%. Top firms hit 90-95%.
Enter as a whole number: 91 means 91%.
The 'missing' percentage is billing leakage — work done but never billed.</t>
      </text>
    </comment>
    <comment ref="A10" authorId="0" shapeId="0">
      <text>
        <t>Total number of currently active/open cases across the firm.
Include all matters in progress, not just new cases.
Used to estimate billing capture improvements.</t>
      </text>
    </comment>
    <comment ref="B10" authorId="0" shapeId="0">
      <text>
        <t>Total number of currently active/open cases across the firm.
Include all matters in progress, not just new cases.
Used to estimate billing capture improvements.</t>
      </text>
    </comment>
    <comment ref="A11" authorId="0" shapeId="0">
      <text>
        <t>How many hours per week does each attorney spend on NON-billable admin?
Includes: filing, data entry, scheduling, document formatting, status updates.
Does NOT include: client meetings, legal research, court time.
Industry average: 6-8 hours/week. Be honest — most firms underestimate this.</t>
      </text>
    </comment>
    <comment ref="B11" authorId="0" shapeId="0">
      <text>
        <t>How many hours per week does each attorney spend on NON-billable admin?
Includes: filing, data entry, scheduling, document formatting, status updates.
Does NOT include: client meetings, legal research, court time.
Industry average: 6-8 hours/week. Be honest — most firms underestimate this.</t>
      </text>
    </comment>
    <comment ref="A13" authorId="0" shapeId="0">
      <text>
        <t>Total new potential client inquiries per month across ALL channels.
Includes: phone calls, web forms, emails, referrals, walk-ins.
Count every inquiry, even ones that don't convert.</t>
      </text>
    </comment>
    <comment ref="B13" authorId="0" shapeId="0">
      <text>
        <t>Total new potential client inquiries per month across ALL channels.
Includes: phone calls, web forms, emails, referrals, walk-ins.
Count every inquiry, even ones that don't convert.</t>
      </text>
    </comment>
    <comment ref="A14" authorId="0" shapeId="0">
      <text>
        <t>On average, how many hours between a new lead contacting you and your first response?
Be honest. Count business hours only.
1 = same hour. 24 = next business day. 48 = two days.
Faster response = higher conversion. Under 1 hour is the gold standard.</t>
      </text>
    </comment>
    <comment ref="B14" authorId="0" shapeId="0">
      <text>
        <t>On average, how many hours between a new lead contacting you and your first response?
Be honest. Count business hours only.
1 = same hour. 24 = next business day. 48 = two days.
Faster response = higher conversion. Under 1 hour is the gold standard.</t>
      </text>
    </comment>
    <comment ref="A15" authorId="0" shapeId="0">
      <text>
        <t>What percentage of leads become paying clients?
Example: If 50 leads/month and 4 become clients, enter 8 (for 8%).
Enter as a whole number: 7 means 7%.
Industry averages: Bankruptcy ~13%, Criminal Defense ~4.5%, Overall legal ~7%.</t>
      </text>
    </comment>
    <comment ref="B15" authorId="0" shapeId="0">
      <text>
        <t>What percentage of leads become paying clients?
Example: If 50 leads/month and 4 become clients, enter 8 (for 8%).
Enter as a whole number: 7 means 7%.
Industry averages: Bankruptcy ~13%, Criminal Defense ~4.5%, Overall legal ~7%.</t>
      </text>
    </comment>
    <comment ref="A16" authorId="0" shapeId="0">
      <text>
        <t>Total monthly marketing budget across all channels.
Includes: Google Ads, LSAs, social media ads, SEO services, directory listings, etc.
Does NOT include: staff time or referral fees.
Enter 0 if you rely entirely on referrals.</t>
      </text>
    </comment>
    <comment ref="B16" authorId="0" shapeId="0">
      <text>
        <t>Total monthly marketing budget across all channels.
Includes: Google Ads, LSAs, social media ads, SEO services, directory listings, etc.
Does NOT include: staff time or referral fees.
Enter 0 if you rely entirely on referrals.</t>
      </text>
    </comment>
    <comment ref="A18" authorId="0" shapeId="0">
      <text>
        <t>How many times per week do clients call/email asking for case status updates?
Count across all staff who field these calls.
These calls are pure overhead — they don't advance the case.
Automated status updates eliminate 80% of these.</t>
      </text>
    </comment>
    <comment ref="B18" authorId="0" shapeId="0">
      <text>
        <t>How many times per week do clients call/email asking for case status updates?
Count across all staff who field these calls.
These calls are pure overhead — they don't advance the case.
Automated status updates eliminate 80% of these.</t>
      </text>
    </comment>
    <comment ref="A19" authorId="0" shapeId="0">
      <text>
        <t>Total hours per week spent on billing tasks across all staff.
Includes: time entry, invoice preparation, collections calls, payment processing.
This is overhead that can be largely automated.</t>
      </text>
    </comment>
    <comment ref="B19" authorId="0" shapeId="0">
      <text>
        <t>Total hours per week spent on billing tasks across all staff.
Includes: time entry, invoice preparation, collections calls, payment processing.
This is overhead that can be largely automated.</t>
      </text>
    </comment>
    <comment ref="A20" authorId="0" shapeId="0">
      <text>
        <t>Number of court deadlines, filing deadlines, or statute of limitations missed in the past year.
Be honest — even 1 missed deadline is a malpractice risk.
0 is great but rare. 1-2 is common. 3+ means your system is failing.</t>
      </text>
    </comment>
    <comment ref="B20" authorId="0" shapeId="0">
      <text>
        <t>Number of court deadlines, filing deadlines, or statute of limitations missed in the past year.
Be honest — even 1 missed deadline is a malpractice risk.
0 is great but rare. 1-2 is common. 3+ means your system is failing.</t>
      </text>
    </comment>
  </commentList>
</comments>
</file>

<file path=xl/comments/comment2.xml><?xml version="1.0" encoding="utf-8"?>
<comments xmlns="http://schemas.openxmlformats.org/spreadsheetml/2006/main">
  <authors>
    <author>ROI Calculator</author>
  </authors>
  <commentList>
    <comment ref="A5" authorId="0" shapeId="0">
      <text>
        <t>Phase 1 focuses on automating client intake and deadline tracking.
Biggest ROI driver: faster lead response = higher conversion.
Secondary benefit: zero missed deadlines = eliminated malpractice risk.</t>
      </text>
    </comment>
    <comment ref="A6" authorId="0" shapeId="0">
      <text>
        <t>What's being measured</t>
      </text>
    </comment>
    <comment ref="B6" authorId="0" shapeId="0">
      <text>
        <t>Your current state based on inputs</t>
      </text>
    </comment>
    <comment ref="C6" authorId="0" shapeId="0">
      <text>
        <t>Projected state after automation</t>
      </text>
    </comment>
    <comment ref="D6" authorId="0" shapeId="0">
      <text>
        <t>The difference (improvement)</t>
      </text>
    </comment>
    <comment ref="E6" authorId="0" shapeId="0">
      <text>
        <t>Dollar impact over 12 months</t>
      </text>
    </comment>
    <comment ref="A7" authorId="0" shapeId="0">
      <text>
        <t>Percentage of leads that become paying clients.
Automation improves this by 30% (capped at 60%) through faster response times.
Faster response = the lead hasn't called your competitor yet.</t>
      </text>
    </comment>
    <comment ref="A8" authorId="0" shapeId="0">
      <text>
        <t>How many leads turn into clients each month.
Current = Leads × Conversion Rate.
Improved = Leads × Improved Conversion Rate.</t>
      </text>
    </comment>
    <comment ref="A9" authorId="0" shapeId="0">
      <text>
        <t>Additional cases per month from improved conversion.
This is the difference between improved and current conversions.</t>
      </text>
    </comment>
    <comment ref="A10" authorId="0" shapeId="0">
      <text>
        <t>Dollar value of additional cases gained.
New Cases × Average Revenue Per Case.
Annual = Monthly × 12.</t>
      </text>
    </comment>
    <comment ref="A11" authorId="0" shapeId="0">
      <text>
        <t>Automated deadline tracking eliminates missed filings.
The dollar value of avoided malpractice claims is not calculated here
but is often the single highest-value benefit of automation.</t>
      </text>
    </comment>
    <comment ref="A15" authorId="0" shapeId="0">
      <text>
        <t>Phase 2 automates document generation and billing capture.
65% admin time reduction from template automation.
15 percentage point billing capture improvement from automated time tracking.</t>
      </text>
    </comment>
    <comment ref="A16" authorId="0" shapeId="0">
      <text>
        <t>What's being measured</t>
      </text>
    </comment>
    <comment ref="B16" authorId="0" shapeId="0">
      <text>
        <t>Your current state based on inputs</t>
      </text>
    </comment>
    <comment ref="C16" authorId="0" shapeId="0">
      <text>
        <t>Projected state after automation</t>
      </text>
    </comment>
    <comment ref="D16" authorId="0" shapeId="0">
      <text>
        <t>The difference (improvement)</t>
      </text>
    </comment>
    <comment ref="E16" authorId="0" shapeId="0">
      <text>
        <t>Dollar impact over 12 months</t>
      </text>
    </comment>
    <comment ref="A17" authorId="0" shapeId="0">
      <text>
        <t>Hours each attorney loses to admin tasks weekly.
Automation reduces this by 65% (multiplied by 0.35 = 35% of original).
Saved hours become available for billable work.</t>
      </text>
    </comment>
    <comment ref="A18" authorId="0" shapeId="0">
      <text>
        <t>Total recovered hours = (Current - Improved) × Number of Attorneys.
These hours are now available for billable work.
Annual = Weekly × 52 weeks.</t>
      </text>
    </comment>
    <comment ref="A19" authorId="0" shapeId="0">
      <text>
        <t>Dollar value of recovered time = Hours × Billing Rate.
Assumes recovered hours are used for billable work.
Annual = Weekly revenue × 52 weeks.</t>
      </text>
    </comment>
    <comment ref="A20" authorId="0" shapeId="0">
      <text>
        <t>Percentage of billable work that actually gets invoiced.
Automated time tracking improves this by 15 percentage points (capped at 95%).
Example: 70% current + 15% improvement = 85% improved.</t>
      </text>
    </comment>
    <comment ref="A21" authorId="0" shapeId="0">
      <text>
        <t>Revenue recovered from improved billing capture.
Formula: (Improved% - Current%) × Monthly Cases × Avg Revenue Per Case.
This is money you're already earning but currently not billing for.</t>
      </text>
    </comment>
    <comment ref="A25" authorId="0" shapeId="0">
      <text>
        <t>Phase 3 implements client portals and automated status updates.
80% reduction in 'where is my case?' calls.
Automated milestone notifications replace manual outreach.</t>
      </text>
    </comment>
    <comment ref="A26" authorId="0" shapeId="0">
      <text>
        <t>What's being measured</t>
      </text>
    </comment>
    <comment ref="B26" authorId="0" shapeId="0">
      <text>
        <t>Your current state based on inputs</t>
      </text>
    </comment>
    <comment ref="C26" authorId="0" shapeId="0">
      <text>
        <t>Projected state after automation</t>
      </text>
    </comment>
    <comment ref="D26" authorId="0" shapeId="0">
      <text>
        <t>The difference (improvement)</t>
      </text>
    </comment>
    <comment ref="E26" authorId="0" shapeId="0">
      <text>
        <t>Dollar impact over 12 months</t>
      </text>
    </comment>
    <comment ref="A27" authorId="0" shapeId="0">
      <text>
        <t>Client status inquiry calls are pure overhead.
Automated status portals and email updates reduce these by 80%.
Remaining 20% are calls that genuinely need human attention.</t>
      </text>
    </comment>
    <comment ref="A29" authorId="0" shapeId="0">
      <text>
        <t>Each status call takes ~12 minutes (lookup + conversation).
Hours saved = Calls eliminated × 12 minutes ÷ 60.</t>
      </text>
    </comment>
    <comment ref="A30" authorId="0" shapeId="0">
      <text>
        <t>Dollar value of time freed from status calls.
Hours saved × Billing Rate × 52 weeks.</t>
      </text>
    </comment>
    <comment ref="A31" authorId="0" shapeId="0">
      <text>
        <t>Hours per attorney per week spent manually updating clients.
Current: ~2 hours (emails, calls, letters).
Improved: ~0.4 hours (only edge cases need manual touch).</t>
      </text>
    </comment>
    <comment ref="A36" authorId="0" shapeId="0">
      <text>
        <t>Phase 4 adds marketing automation and attribution tracking.
40% CPA reduction = more clients from same budget.
OR reduce spend while maintaining client volume.</t>
      </text>
    </comment>
    <comment ref="A37" authorId="0" shapeId="0">
      <text>
        <t>What's being measured</t>
      </text>
    </comment>
    <comment ref="B37" authorId="0" shapeId="0">
      <text>
        <t>Your current state based on inputs</t>
      </text>
    </comment>
    <comment ref="C37" authorId="0" shapeId="0">
      <text>
        <t>Projected state after automation</t>
      </text>
    </comment>
    <comment ref="D37" authorId="0" shapeId="0">
      <text>
        <t>The difference (improvement)</t>
      </text>
    </comment>
    <comment ref="E37" authorId="0" shapeId="0">
      <text>
        <t>Dollar impact over 12 months</t>
      </text>
    </comment>
    <comment ref="A38" authorId="0" shapeId="0">
      <text>
        <t>How much you spend to acquire each client.
Formula: Marketing Spend ÷ (Leads × Conversion Rate).
Improved CPA = 60% of current (40% reduction from better attribution and automation).</t>
      </text>
    </comment>
    <comment ref="A39" authorId="0" shapeId="0">
      <text>
        <t>Current monthly client acquisitions.
Leads × Conversion Rate.</t>
      </text>
    </comment>
    <comment ref="A40" authorId="0" shapeId="0">
      <text>
        <t>How many clients the same budget buys at the improved CPA.
Marketing Spend ÷ Improved CPA.</t>
      </text>
    </comment>
    <comment ref="A42" authorId="0" shapeId="0">
      <text>
        <t>Dollar value of additional clients.
Additional Clients × Average Revenue Per Case.
Annual = Monthly × 12.</t>
      </text>
    </comment>
  </commentList>
</comments>
</file>

<file path=xl/comments/comment3.xml><?xml version="1.0" encoding="utf-8"?>
<comments xmlns="http://schemas.openxmlformats.org/spreadsheetml/2006/main">
  <authors>
    <author>ROI Calculator</author>
  </authors>
  <commentList>
    <comment ref="B9" authorId="0" shapeId="0">
      <text>
        <t>Sum of all 4 phase annual ROI projections.
This is the total estimated annual benefit from full automation implementation.</t>
      </text>
    </comment>
    <comment ref="A13" authorId="0" shapeId="0">
      <text>
        <t>Implementation approach</t>
      </text>
    </comment>
    <comment ref="B13" authorId="0" shapeId="0">
      <text>
        <t>One-time implementation cost</t>
      </text>
    </comment>
    <comment ref="C13" authorId="0" shapeId="0">
      <text>
        <t>Projected annual return (from above)</t>
      </text>
    </comment>
    <comment ref="D13" authorId="0" shapeId="0">
      <text>
        <t>Months until ROI exceeds cost. Lower = faster payback.</t>
      </text>
    </comment>
    <comment ref="E13" authorId="0" shapeId="0">
      <text>
        <t>Annual ROI ÷ Cost. Higher = better return on investment.
Example: 10x means $10 returned for every $1 invested.</t>
      </text>
    </comment>
    <comment ref="A14" authorId="0" shapeId="0">
      <text>
        <t>You do it yourself using off-the-shelf tools (Zapier, Clio, etc.)</t>
      </text>
    </comment>
    <comment ref="A15" authorId="0" shapeId="0">
      <text>
        <t>Mix of templates and custom work. Some consulting help.</t>
      </text>
    </comment>
    <comment ref="A16" authorId="0" shapeId="0">
      <text>
        <t>Fully custom automation system built by a specialist.</t>
      </text>
    </comment>
    <comment ref="A19" authorId="0" shapeId="0">
      <text>
        <t>These are typical values for each practice area.
Use them as a starting point if you're unsure about your own numbers.
Copy a column's values to Tab 1 to see projected ROI for a typical firm.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2" customWidth="1" min="3" max="3"/>
  </cols>
  <sheetData>
    <row r="1" ht="30" customHeight="1">
      <c r="A1" s="1" t="inlineStr">
        <is>
          <t>Your Firm Profile</t>
        </is>
      </c>
      <c r="B1" s="1" t="n"/>
      <c r="C1" s="1" t="n"/>
    </row>
    <row r="2">
      <c r="A2" s="2" t="inlineStr">
        <is>
          <t>Field Name</t>
        </is>
      </c>
      <c r="B2" s="2" t="inlineStr">
        <is>
          <t>Your Value</t>
        </is>
      </c>
      <c r="C2" s="2" t="inlineStr">
        <is>
          <t>Units / Notes</t>
        </is>
      </c>
    </row>
    <row r="4">
      <c r="A4" s="3" t="inlineStr">
        <is>
          <t>BILLING &amp; REVENUE</t>
        </is>
      </c>
      <c r="B4" s="3" t="n"/>
      <c r="C4" s="3" t="n"/>
    </row>
    <row r="5">
      <c r="A5" s="4" t="inlineStr">
        <is>
          <t>Average Billing Rate</t>
        </is>
      </c>
      <c r="B5" s="5" t="n"/>
      <c r="C5" s="6" t="inlineStr">
        <is>
          <t>$/hour</t>
        </is>
      </c>
    </row>
    <row r="6">
      <c r="A6" s="4" t="inlineStr">
        <is>
          <t>Number of Attorneys</t>
        </is>
      </c>
      <c r="B6" s="5" t="n"/>
      <c r="C6" s="6" t="inlineStr">
        <is>
          <t>Count</t>
        </is>
      </c>
    </row>
    <row r="7">
      <c r="A7" s="4" t="inlineStr">
        <is>
          <t>Average Revenue Per Case</t>
        </is>
      </c>
      <c r="B7" s="5" t="n"/>
      <c r="C7" s="6" t="inlineStr">
        <is>
          <t>$</t>
        </is>
      </c>
    </row>
    <row r="8">
      <c r="A8" s="4" t="inlineStr">
        <is>
          <t>% of Billable Time Actually Billed</t>
        </is>
      </c>
      <c r="B8" s="5" t="n"/>
      <c r="C8" s="6" t="inlineStr">
        <is>
          <t>Enter as whole number (e.g. 91 for 91%)</t>
        </is>
      </c>
    </row>
    <row r="9">
      <c r="A9" s="3" t="inlineStr">
        <is>
          <t>CASELOAD &amp; WORKLOAD</t>
        </is>
      </c>
      <c r="B9" s="3" t="n"/>
      <c r="C9" s="3" t="n"/>
    </row>
    <row r="10">
      <c r="A10" s="4" t="inlineStr">
        <is>
          <t>Current Caseload (active cases)</t>
        </is>
      </c>
      <c r="B10" s="5" t="n"/>
      <c r="C10" s="6" t="inlineStr">
        <is>
          <t>Count</t>
        </is>
      </c>
    </row>
    <row r="11">
      <c r="A11" s="4" t="inlineStr">
        <is>
          <t>Hours Lost to Admin Per Attorney/Week</t>
        </is>
      </c>
      <c r="B11" s="5" t="n"/>
      <c r="C11" s="6" t="inlineStr">
        <is>
          <t>Hours (2-10)</t>
        </is>
      </c>
    </row>
    <row r="12">
      <c r="A12" s="3" t="inlineStr">
        <is>
          <t>MARKETING &amp; INTAKE</t>
        </is>
      </c>
      <c r="B12" s="3" t="n"/>
      <c r="C12" s="3" t="n"/>
    </row>
    <row r="13">
      <c r="A13" s="4" t="inlineStr">
        <is>
          <t>New Leads Per Month</t>
        </is>
      </c>
      <c r="B13" s="5" t="n"/>
      <c r="C13" s="6" t="inlineStr">
        <is>
          <t>Count</t>
        </is>
      </c>
    </row>
    <row r="14">
      <c r="A14" s="4" t="inlineStr">
        <is>
          <t>Lead Response Time (current)</t>
        </is>
      </c>
      <c r="B14" s="5" t="n"/>
      <c r="C14" s="6" t="inlineStr">
        <is>
          <t>Hours (1-48)</t>
        </is>
      </c>
    </row>
    <row r="15">
      <c r="A15" s="4" t="inlineStr">
        <is>
          <t>Lead Conversion Rate (current)</t>
        </is>
      </c>
      <c r="B15" s="5" t="n"/>
      <c r="C15" s="6" t="inlineStr">
        <is>
          <t>Enter as whole number (e.g. 7 for 7%)</t>
        </is>
      </c>
    </row>
    <row r="16">
      <c r="A16" s="4" t="inlineStr">
        <is>
          <t>Monthly Marketing Spend</t>
        </is>
      </c>
      <c r="B16" s="5" t="n"/>
      <c r="C16" s="6" t="inlineStr">
        <is>
          <t>$</t>
        </is>
      </c>
    </row>
    <row r="17">
      <c r="A17" s="3" t="inlineStr">
        <is>
          <t>OPERATIONS</t>
        </is>
      </c>
      <c r="B17" s="3" t="n"/>
      <c r="C17" s="3" t="n"/>
    </row>
    <row r="18">
      <c r="A18" s="4" t="inlineStr">
        <is>
          <t>Weekly "Where's My Case?" Calls</t>
        </is>
      </c>
      <c r="B18" s="5" t="n"/>
      <c r="C18" s="6" t="inlineStr">
        <is>
          <t>Count (5-30)</t>
        </is>
      </c>
    </row>
    <row r="19">
      <c r="A19" s="4" t="inlineStr">
        <is>
          <t>Time Spent on Billing/Collections Per Week</t>
        </is>
      </c>
      <c r="B19" s="5" t="n"/>
      <c r="C19" s="6" t="inlineStr">
        <is>
          <t>Hours (2-15)</t>
        </is>
      </c>
    </row>
    <row r="20">
      <c r="A20" s="4" t="inlineStr">
        <is>
          <t>Missed Deadlines in Past 12 Months</t>
        </is>
      </c>
      <c r="B20" s="5" t="n"/>
      <c r="C20" s="6" t="inlineStr">
        <is>
          <t>Count (0-5+)</t>
        </is>
      </c>
    </row>
    <row r="22">
      <c r="A22" s="6" t="inlineStr">
        <is>
          <t>Instructions: Fill in Column B with your firm's current metrics. Hover over any field for a detailed explanation. Percentages should be entered as whole numbers (e.g. 91 for 91%, 20 for 20%). Use practice-area benchmarks in the Summary tab as a starting point.</t>
        </is>
      </c>
    </row>
  </sheetData>
  <mergeCells count="1">
    <mergeCell ref="A22:C22"/>
  </mergeCells>
  <dataValidations count="13">
    <dataValidation sqref="B5" showDropDown="0" showInputMessage="1" showErrorMessage="1" allowBlank="1" errorTitle="Invalid Input" error="Please enter a number between 50 and 1000." promptTitle="Input Required" prompt="Your standard hourly billing rate in dollars." type="decimal" operator="between">
      <formula1>50</formula1>
      <formula2>1000</formula2>
    </dataValidation>
    <dataValidation sqref="B6" showDropDown="0" showInputMessage="1" showErrorMessage="1" allowBlank="1" errorTitle="Invalid Input" error="Please enter a number between 1 and 100." promptTitle="Input Required" prompt="Total number of attorneys at your firm (partners + associates)." type="decimal" operator="between">
      <formula1>1</formula1>
      <formula2>100</formula2>
    </dataValidation>
    <dataValidation sqref="B7" showDropDown="0" showInputMessage="1" showErrorMessage="1" allowBlank="1" errorTitle="Invalid Input" error="Please enter a number between 500 and 100000." promptTitle="Input Required" prompt="Average total revenue you collect per case from start to close." type="decimal" operator="between">
      <formula1>500</formula1>
      <formula2>100000</formula2>
    </dataValidation>
    <dataValidation sqref="B8" showDropDown="0" showInputMessage="1" showErrorMessage="1" allowBlank="1" errorTitle="Invalid Input" error="Please enter a number between 50 and 100." promptTitle="Input Required" prompt="What percentage of your attorneys' billable work actually gets invoiced?" type="decimal" operator="between">
      <formula1>50</formula1>
      <formula2>100</formula2>
    </dataValidation>
    <dataValidation sqref="B10" showDropDown="0" showInputMessage="1" showErrorMessage="1" allowBlank="1" errorTitle="Invalid Input" error="Please enter a number between 5 and 500." promptTitle="Input Required" prompt="Total number of currently active/open cases across the firm." type="decimal" operator="between">
      <formula1>5</formula1>
      <formula2>500</formula2>
    </dataValidation>
    <dataValidation sqref="B11" showDropDown="0" showInputMessage="1" showErrorMessage="1" allowBlank="1" errorTitle="Invalid Input" error="Please enter a number between 1 and 20." promptTitle="Input Required" prompt="How many hours per week does each attorney spend on NON-billable admin?" type="decimal" operator="between">
      <formula1>1</formula1>
      <formula2>20</formula2>
    </dataValidation>
    <dataValidation sqref="B13" showDropDown="0" showInputMessage="1" showErrorMessage="1" allowBlank="1" errorTitle="Invalid Input" error="Please enter a number between 1 and 500." promptTitle="Input Required" prompt="Total new potential client inquiries per month across ALL channels." type="decimal" operator="between">
      <formula1>1</formula1>
      <formula2>500</formula2>
    </dataValidation>
    <dataValidation sqref="B14" showDropDown="0" showInputMessage="1" showErrorMessage="1" allowBlank="1" errorTitle="Invalid Input" error="Please enter a number between 0.5 and 72." promptTitle="Input Required" prompt="On average, how many hours between a new lead contacting you and your first response?" type="decimal" operator="between">
      <formula1>0.5</formula1>
      <formula2>72</formula2>
    </dataValidation>
    <dataValidation sqref="B15" showDropDown="0" showInputMessage="1" showErrorMessage="1" allowBlank="1" errorTitle="Invalid Input" error="Please enter a number between 1 and 80." promptTitle="Input Required" prompt="What percentage of leads become paying clients?" type="decimal" operator="between">
      <formula1>1</formula1>
      <formula2>80</formula2>
    </dataValidation>
    <dataValidation sqref="B16" showDropDown="0" showInputMessage="1" showErrorMessage="1" allowBlank="1" errorTitle="Invalid Input" error="Please enter a number between 0 and 500000." promptTitle="Input Required" prompt="Total monthly marketing budget across all channels." type="decimal" operator="between">
      <formula1>0</formula1>
      <formula2>500000</formula2>
    </dataValidation>
    <dataValidation sqref="B18" showDropDown="0" showInputMessage="1" showErrorMessage="1" allowBlank="1" errorTitle="Invalid Input" error="Please enter a number between 0 and 100." promptTitle="Input Required" prompt="How many times per week do clients call/email asking for case status updates?" type="decimal" operator="between">
      <formula1>0</formula1>
      <formula2>100</formula2>
    </dataValidation>
    <dataValidation sqref="B19" showDropDown="0" showInputMessage="1" showErrorMessage="1" allowBlank="1" errorTitle="Invalid Input" error="Please enter a number between 0 and 40." promptTitle="Input Required" prompt="Total hours per week spent on billing tasks across all staff." type="decimal" operator="between">
      <formula1>0</formula1>
      <formula2>40</formula2>
    </dataValidation>
    <dataValidation sqref="B20" showDropDown="0" showInputMessage="1" showErrorMessage="1" allowBlank="1" errorTitle="Invalid Input" error="Please enter a number between 0 and 20." promptTitle="Input Required" prompt="Number of court deadlines, filing deadlines, or statute of limitations missed in the past year." type="decimal" operator="between">
      <formula1>0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ROI Calculator: Automated Law Firm Blueprint</t>
        </is>
      </c>
    </row>
    <row r="2">
      <c r="A2" s="6" t="inlineStr">
        <is>
          <t>Based on inputs from "Your Firm Profile" tab</t>
        </is>
      </c>
    </row>
    <row r="3">
      <c r="A3" s="6" t="inlineStr">
        <is>
          <t>All projections are estimates based on industry benchmarks and may vary.</t>
        </is>
      </c>
    </row>
    <row r="5">
      <c r="A5" s="3" t="inlineStr">
        <is>
          <t>PHASE 1: Intake + Deadlines (Month 1)</t>
        </is>
      </c>
    </row>
    <row r="6">
      <c r="A6" s="2" t="inlineStr">
        <is>
          <t>Metric</t>
        </is>
      </c>
      <c r="B6" s="2" t="inlineStr">
        <is>
          <t>Current</t>
        </is>
      </c>
      <c r="C6" s="2" t="inlineStr">
        <is>
          <t>Improved</t>
        </is>
      </c>
      <c r="D6" s="2" t="inlineStr">
        <is>
          <t>Change</t>
        </is>
      </c>
      <c r="E6" s="2" t="inlineStr">
        <is>
          <t>Annual Impact</t>
        </is>
      </c>
    </row>
    <row r="7">
      <c r="A7" s="4" t="inlineStr">
        <is>
          <t>Lead Conversion Rate</t>
        </is>
      </c>
      <c r="B7" s="7">
        <f>('Your Firm Profile'!B15/100)</f>
        <v/>
      </c>
      <c r="C7" s="7">
        <f>MIN(('Your Firm Profile'!B15/100)*1.3,0.6)</f>
        <v/>
      </c>
    </row>
    <row r="8">
      <c r="A8" s="4" t="inlineStr">
        <is>
          <t>Conversions Per Month</t>
        </is>
      </c>
      <c r="B8" s="8">
        <f>'Your Firm Profile'!B13*B7</f>
        <v/>
      </c>
      <c r="C8" s="8">
        <f>'Your Firm Profile'!B13*C7</f>
        <v/>
      </c>
    </row>
    <row r="9">
      <c r="A9" s="4" t="inlineStr">
        <is>
          <t>New Cases Gained/Month</t>
        </is>
      </c>
      <c r="D9" s="8">
        <f>C8-B8</f>
        <v/>
      </c>
    </row>
    <row r="10">
      <c r="A10" s="4" t="inlineStr">
        <is>
          <t>Revenue from New Cases/Month</t>
        </is>
      </c>
      <c r="D10" s="9">
        <f>D9*'Your Firm Profile'!B7</f>
        <v/>
      </c>
      <c r="E10" s="9">
        <f>D10*12</f>
        <v/>
      </c>
    </row>
    <row r="11">
      <c r="A11" s="4" t="inlineStr">
        <is>
          <t>Missed Deadlines → Zero</t>
        </is>
      </c>
      <c r="B11">
        <f>'Your Firm Profile'!B20</f>
        <v/>
      </c>
      <c r="C11" t="n">
        <v>0</v>
      </c>
    </row>
    <row r="12">
      <c r="A12" s="10" t="inlineStr">
        <is>
          <t>PHASE 1 ANNUAL ROI</t>
        </is>
      </c>
      <c r="E12" s="11">
        <f>E10</f>
        <v/>
      </c>
    </row>
    <row r="13">
      <c r="A13" s="6" t="inlineStr">
        <is>
          <t>Assumption: 30% conversion improvement (capped at 60%). Faster response captures leads before they call competitors.</t>
        </is>
      </c>
    </row>
    <row r="15">
      <c r="A15" s="3" t="inlineStr">
        <is>
          <t>PHASE 2: Document Assembly + Billing (Month 2)</t>
        </is>
      </c>
    </row>
    <row r="16">
      <c r="A16" s="2" t="inlineStr">
        <is>
          <t>Metric</t>
        </is>
      </c>
      <c r="B16" s="2" t="inlineStr">
        <is>
          <t>Current</t>
        </is>
      </c>
      <c r="C16" s="2" t="inlineStr">
        <is>
          <t>Improved</t>
        </is>
      </c>
      <c r="D16" s="2" t="inlineStr">
        <is>
          <t>Change</t>
        </is>
      </c>
      <c r="E16" s="2" t="inlineStr">
        <is>
          <t>Annual Impact</t>
        </is>
      </c>
    </row>
    <row r="17">
      <c r="A17" s="4" t="inlineStr">
        <is>
          <t>Admin Hours Lost/Attorney/Week</t>
        </is>
      </c>
      <c r="B17" s="8">
        <f>'Your Firm Profile'!B11</f>
        <v/>
      </c>
      <c r="C17" s="8">
        <f>'Your Firm Profile'!B11*0.35</f>
        <v/>
      </c>
    </row>
    <row r="18">
      <c r="A18" s="4" t="inlineStr">
        <is>
          <t>Hours Recovered/Week (All Attorneys)</t>
        </is>
      </c>
      <c r="D18" s="8">
        <f>(B17-C17)*'Your Firm Profile'!B6</f>
        <v/>
      </c>
      <c r="E18" s="8">
        <f>D18*52</f>
        <v/>
      </c>
    </row>
    <row r="19">
      <c r="A19" s="4" t="inlineStr">
        <is>
          <t>Revenue from Recovered Hours</t>
        </is>
      </c>
      <c r="D19" s="9">
        <f>D18*'Your Firm Profile'!B5</f>
        <v/>
      </c>
      <c r="E19" s="9">
        <f>D19*52</f>
        <v/>
      </c>
    </row>
    <row r="20">
      <c r="A20" s="4" t="inlineStr">
        <is>
          <t>Billable Capture Rate</t>
        </is>
      </c>
      <c r="B20" s="7">
        <f>('Your Firm Profile'!B8/100)</f>
        <v/>
      </c>
      <c r="C20" s="7">
        <f>MIN(('Your Firm Profile'!B8/100)+0.15,0.95)</f>
        <v/>
      </c>
    </row>
    <row r="21">
      <c r="A21" s="4" t="inlineStr">
        <is>
          <t>Additional Billed Revenue/Month</t>
        </is>
      </c>
      <c r="D21" s="9">
        <f>(C20-B20)*('Your Firm Profile'!B10/12)*'Your Firm Profile'!B7</f>
        <v/>
      </c>
      <c r="E21" s="9">
        <f>D21*12</f>
        <v/>
      </c>
    </row>
    <row r="22">
      <c r="A22" s="10" t="inlineStr">
        <is>
          <t>PHASE 2 ANNUAL ROI</t>
        </is>
      </c>
      <c r="E22" s="11">
        <f>E19+E21</f>
        <v/>
      </c>
    </row>
    <row r="23">
      <c r="A23" s="6" t="inlineStr">
        <is>
          <t>Assumptions: 65% admin reduction, 15 percentage point billing capture improvement (capped at 95%).</t>
        </is>
      </c>
    </row>
    <row r="25">
      <c r="A25" s="3" t="inlineStr">
        <is>
          <t>PHASE 3: Client Communication (Month 3)</t>
        </is>
      </c>
    </row>
    <row r="26">
      <c r="A26" s="2" t="inlineStr">
        <is>
          <t>Metric</t>
        </is>
      </c>
      <c r="B26" s="2" t="inlineStr">
        <is>
          <t>Current</t>
        </is>
      </c>
      <c r="C26" s="2" t="inlineStr">
        <is>
          <t>Improved</t>
        </is>
      </c>
      <c r="D26" s="2" t="inlineStr">
        <is>
          <t>Change</t>
        </is>
      </c>
      <c r="E26" s="2" t="inlineStr">
        <is>
          <t>Annual Impact</t>
        </is>
      </c>
    </row>
    <row r="27">
      <c r="A27" s="4" t="inlineStr">
        <is>
          <t>"Where's My Case?" Calls/Week</t>
        </is>
      </c>
      <c r="B27">
        <f>'Your Firm Profile'!B18</f>
        <v/>
      </c>
      <c r="C27" s="8">
        <f>'Your Firm Profile'!B18*0.2</f>
        <v/>
      </c>
    </row>
    <row r="28">
      <c r="A28" s="4" t="inlineStr">
        <is>
          <t>Calls Eliminated/Week</t>
        </is>
      </c>
      <c r="D28" s="8">
        <f>B27-C27</f>
        <v/>
      </c>
    </row>
    <row r="29">
      <c r="A29" s="4" t="inlineStr">
        <is>
          <t>Hours Saved from Calls/Week</t>
        </is>
      </c>
      <c r="D29" s="8">
        <f>D28*12/60</f>
        <v/>
      </c>
    </row>
    <row r="30">
      <c r="A30" s="4" t="inlineStr">
        <is>
          <t>Revenue from Call Time Savings</t>
        </is>
      </c>
      <c r="E30" s="9">
        <f>D29*'Your Firm Profile'!B5*52</f>
        <v/>
      </c>
    </row>
    <row r="31">
      <c r="A31" s="4" t="inlineStr">
        <is>
          <t>Manual Update Time Saved/Attorney/Week</t>
        </is>
      </c>
      <c r="B31" s="12" t="n">
        <v>2</v>
      </c>
      <c r="C31" s="12" t="n">
        <v>0.4</v>
      </c>
      <c r="D31" s="8">
        <f>(B31-C31)*'Your Firm Profile'!B6</f>
        <v/>
      </c>
    </row>
    <row r="32">
      <c r="A32" s="4" t="inlineStr">
        <is>
          <t>Revenue from Update Time Savings</t>
        </is>
      </c>
      <c r="E32" s="9">
        <f>D31*'Your Firm Profile'!B5*52</f>
        <v/>
      </c>
    </row>
    <row r="33">
      <c r="A33" s="10" t="inlineStr">
        <is>
          <t>PHASE 3 ANNUAL ROI</t>
        </is>
      </c>
      <c r="E33" s="11">
        <f>E30+E32</f>
        <v/>
      </c>
    </row>
    <row r="34">
      <c r="A34" s="6" t="inlineStr">
        <is>
          <t>Assumptions: 80% support call reduction, 12 min/call, 2→0.4 hrs/attorney/week manual updates.</t>
        </is>
      </c>
    </row>
    <row r="36">
      <c r="A36" s="3" t="inlineStr">
        <is>
          <t>PHASE 4: Marketing Engine (Month 4+)</t>
        </is>
      </c>
    </row>
    <row r="37">
      <c r="A37" s="2" t="inlineStr">
        <is>
          <t>Metric</t>
        </is>
      </c>
      <c r="B37" s="2" t="inlineStr">
        <is>
          <t>Current</t>
        </is>
      </c>
      <c r="C37" s="2" t="inlineStr">
        <is>
          <t>Improved</t>
        </is>
      </c>
      <c r="D37" s="2" t="inlineStr">
        <is>
          <t>Change</t>
        </is>
      </c>
      <c r="E37" s="2" t="inlineStr">
        <is>
          <t>Annual Impact</t>
        </is>
      </c>
    </row>
    <row r="38">
      <c r="A38" s="4" t="inlineStr">
        <is>
          <t>Cost Per Acquisition (CPA)</t>
        </is>
      </c>
      <c r="B38" s="9">
        <f>IF(('Your Firm Profile'!B15/100)&gt;0,'Your Firm Profile'!B16/('Your Firm Profile'!B13*('Your Firm Profile'!B15/100)),0)</f>
        <v/>
      </c>
      <c r="C38" s="9">
        <f>B38*0.6</f>
        <v/>
      </c>
    </row>
    <row r="39">
      <c r="A39" s="4" t="inlineStr">
        <is>
          <t>Clients/Month at Current CPA</t>
        </is>
      </c>
      <c r="B39" s="8">
        <f>'Your Firm Profile'!B13*('Your Firm Profile'!B15/100)</f>
        <v/>
      </c>
    </row>
    <row r="40">
      <c r="A40" s="4" t="inlineStr">
        <is>
          <t>Clients/Month at Improved CPA</t>
        </is>
      </c>
      <c r="C40" s="8">
        <f>IF(C38&gt;0,'Your Firm Profile'!B16/C38,0)</f>
        <v/>
      </c>
    </row>
    <row r="41">
      <c r="A41" s="4" t="inlineStr">
        <is>
          <t>Additional Clients/Month</t>
        </is>
      </c>
      <c r="D41" s="8">
        <f>C40-B39</f>
        <v/>
      </c>
    </row>
    <row r="42">
      <c r="A42" s="4" t="inlineStr">
        <is>
          <t>Revenue from Additional Clients</t>
        </is>
      </c>
      <c r="D42" s="9">
        <f>D41*'Your Firm Profile'!B7</f>
        <v/>
      </c>
      <c r="E42" s="9">
        <f>D42*12</f>
        <v/>
      </c>
    </row>
    <row r="43">
      <c r="A43" s="10" t="inlineStr">
        <is>
          <t>PHASE 4 ANNUAL ROI</t>
        </is>
      </c>
      <c r="E43" s="11">
        <f>E42</f>
        <v/>
      </c>
    </row>
    <row r="44">
      <c r="A44" s="6" t="inlineStr">
        <is>
          <t>Assumptions: 40% CPA reduction from attribution tracking and automated follow-up. Marketing spend held constant.</t>
        </is>
      </c>
    </row>
    <row r="46">
      <c r="A46" s="6" t="inlineStr">
        <is>
          <t>Disclaimer: All projections are estimates. Actual results vary based on implementation quality and market conditions. Not financial or legal advice.</t>
        </is>
      </c>
    </row>
  </sheetData>
  <mergeCells count="10">
    <mergeCell ref="A34:E34"/>
    <mergeCell ref="A15:E15"/>
    <mergeCell ref="A25:E25"/>
    <mergeCell ref="A1:E1"/>
    <mergeCell ref="A23:E23"/>
    <mergeCell ref="A5:E5"/>
    <mergeCell ref="A13:E13"/>
    <mergeCell ref="A36:E36"/>
    <mergeCell ref="A44:E44"/>
    <mergeCell ref="A46:E46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22" customWidth="1" min="4" max="4"/>
    <col width="16" customWidth="1" min="5" max="5"/>
  </cols>
  <sheetData>
    <row r="1">
      <c r="A1" s="1" t="inlineStr">
        <is>
          <t>Summary Dashboard</t>
        </is>
      </c>
    </row>
    <row r="3">
      <c r="A3" s="2" t="inlineStr">
        <is>
          <t>Phase</t>
        </is>
      </c>
      <c r="B3" s="2" t="inlineStr">
        <is>
          <t>Annual ROI</t>
        </is>
      </c>
    </row>
    <row r="4">
      <c r="A4" s="4" t="inlineStr">
        <is>
          <t>Phase 1: Intake + Deadlines</t>
        </is>
      </c>
      <c r="B4" s="9">
        <f>'Phase-by-Phase ROI'!E12</f>
        <v/>
      </c>
    </row>
    <row r="5">
      <c r="A5" s="4" t="inlineStr">
        <is>
          <t>Phase 2: Document + Billing</t>
        </is>
      </c>
      <c r="B5" s="9">
        <f>'Phase-by-Phase ROI'!E22</f>
        <v/>
      </c>
    </row>
    <row r="6">
      <c r="A6" s="4" t="inlineStr">
        <is>
          <t>Phase 3: Client Communication</t>
        </is>
      </c>
      <c r="B6" s="9">
        <f>'Phase-by-Phase ROI'!E33</f>
        <v/>
      </c>
    </row>
    <row r="7">
      <c r="A7" s="4" t="inlineStr">
        <is>
          <t>Phase 4: Marketing Engine</t>
        </is>
      </c>
      <c r="B7" s="9">
        <f>'Phase-by-Phase ROI'!E43</f>
        <v/>
      </c>
    </row>
    <row r="9">
      <c r="A9" s="13" t="inlineStr">
        <is>
          <t>TOTAL ANNUAL ROI</t>
        </is>
      </c>
      <c r="B9" s="14">
        <f>SUM(B4:B7)</f>
        <v/>
      </c>
    </row>
    <row r="10">
      <c r="A10" s="10" t="inlineStr">
        <is>
          <t>TOTAL MONTHLY ROI</t>
        </is>
      </c>
      <c r="B10" s="9">
        <f>B9/12</f>
        <v/>
      </c>
    </row>
    <row r="12">
      <c r="A12" s="3" t="inlineStr">
        <is>
          <t>IMPLEMENTATION INVESTMENT</t>
        </is>
      </c>
    </row>
    <row r="13">
      <c r="A13" s="2" t="inlineStr">
        <is>
          <t>Scenario</t>
        </is>
      </c>
      <c r="B13" s="2" t="inlineStr">
        <is>
          <t>Cost</t>
        </is>
      </c>
      <c r="C13" s="2" t="inlineStr">
        <is>
          <t>Annual ROI</t>
        </is>
      </c>
      <c r="D13" s="2" t="inlineStr">
        <is>
          <t>Payback (Months)</t>
        </is>
      </c>
      <c r="E13" s="2" t="inlineStr">
        <is>
          <t>ROI Multiple</t>
        </is>
      </c>
    </row>
    <row r="14">
      <c r="A14" s="4" t="inlineStr">
        <is>
          <t>Low-End (DIY + Tools)</t>
        </is>
      </c>
      <c r="B14" s="9" t="n">
        <v>5000</v>
      </c>
      <c r="C14" s="9">
        <f>B9</f>
        <v/>
      </c>
      <c r="D14" s="8">
        <f>IF(B9&gt;0,B14/(B9/12),"N/A")</f>
        <v/>
      </c>
      <c r="E14" s="15">
        <f>IF(B14&gt;0,B9/B14,"N/A")</f>
        <v/>
      </c>
    </row>
    <row r="15">
      <c r="A15" s="4" t="inlineStr">
        <is>
          <t>Mid-Range (Partial Custom)</t>
        </is>
      </c>
      <c r="B15" s="9" t="n">
        <v>10000</v>
      </c>
      <c r="C15" s="9">
        <f>B9</f>
        <v/>
      </c>
      <c r="D15" s="8">
        <f>IF(B9&gt;0,B15/(B9/12),"N/A")</f>
        <v/>
      </c>
      <c r="E15" s="15">
        <f>IF(B15&gt;0,B9/B15,"N/A")</f>
        <v/>
      </c>
    </row>
    <row r="16">
      <c r="A16" s="4" t="inlineStr">
        <is>
          <t>High-End (Full Custom Build)</t>
        </is>
      </c>
      <c r="B16" s="9" t="n">
        <v>15000</v>
      </c>
      <c r="C16" s="9">
        <f>B9</f>
        <v/>
      </c>
      <c r="D16" s="8">
        <f>IF(B9&gt;0,B16/(B9/12),"N/A")</f>
        <v/>
      </c>
      <c r="E16" s="15">
        <f>IF(B16&gt;0,B9/B16,"N/A")</f>
        <v/>
      </c>
    </row>
    <row r="19">
      <c r="A19" s="3" t="inlineStr">
        <is>
          <t>PRACTICE-AREA BENCHMARKS (Copy to Your Firm Profile)</t>
        </is>
      </c>
    </row>
    <row r="20">
      <c r="A20" s="4" t="inlineStr">
        <is>
          <t>Metric</t>
        </is>
      </c>
      <c r="B20" s="4" t="inlineStr">
        <is>
          <t>Bankruptcy</t>
        </is>
      </c>
      <c r="C20" s="4" t="inlineStr">
        <is>
          <t>Criminal Defense</t>
        </is>
      </c>
      <c r="D20" s="4" t="inlineStr">
        <is>
          <t>Administrative</t>
        </is>
      </c>
    </row>
    <row r="21">
      <c r="A21" s="12" t="inlineStr">
        <is>
          <t>Billing Rate ($/hr)</t>
        </is>
      </c>
      <c r="B21" s="16" t="n">
        <v>300</v>
      </c>
      <c r="C21" s="16" t="n">
        <v>400</v>
      </c>
      <c r="D21" s="16" t="n">
        <v>350</v>
      </c>
    </row>
    <row r="22">
      <c r="A22" s="12" t="inlineStr">
        <is>
          <t>Attorneys</t>
        </is>
      </c>
      <c r="B22" s="12" t="n">
        <v>2</v>
      </c>
      <c r="C22" s="12" t="n">
        <v>1</v>
      </c>
      <c r="D22" s="12" t="n">
        <v>3</v>
      </c>
    </row>
    <row r="23">
      <c r="A23" s="12" t="inlineStr">
        <is>
          <t>Avg Revenue/Case</t>
        </is>
      </c>
      <c r="B23" s="16" t="n">
        <v>2500</v>
      </c>
      <c r="C23" s="16" t="n">
        <v>5000</v>
      </c>
      <c r="D23" s="16" t="n">
        <v>4000</v>
      </c>
    </row>
    <row r="24">
      <c r="A24" s="12" t="inlineStr">
        <is>
          <t>Billable Capture %</t>
        </is>
      </c>
      <c r="B24" s="12" t="n">
        <v>70</v>
      </c>
      <c r="C24" s="12" t="n">
        <v>65</v>
      </c>
      <c r="D24" s="12" t="n">
        <v>75</v>
      </c>
    </row>
    <row r="25">
      <c r="A25" s="12" t="inlineStr">
        <is>
          <t>Caseload</t>
        </is>
      </c>
      <c r="B25" s="12" t="n">
        <v>35</v>
      </c>
      <c r="C25" s="12" t="n">
        <v>25</v>
      </c>
      <c r="D25" s="12" t="n">
        <v>30</v>
      </c>
    </row>
    <row r="26">
      <c r="A26" s="12" t="inlineStr">
        <is>
          <t>Admin Hrs Lost/Atty/Wk</t>
        </is>
      </c>
      <c r="B26" s="12" t="n">
        <v>7</v>
      </c>
      <c r="C26" s="12" t="n">
        <v>8</v>
      </c>
      <c r="D26" s="12" t="n">
        <v>6</v>
      </c>
    </row>
    <row r="27">
      <c r="A27" s="12" t="inlineStr">
        <is>
          <t>Leads/Month</t>
        </is>
      </c>
      <c r="B27" s="12" t="n">
        <v>25</v>
      </c>
      <c r="C27" s="12" t="n">
        <v>18</v>
      </c>
      <c r="D27" s="12" t="n">
        <v>15</v>
      </c>
    </row>
    <row r="28">
      <c r="A28" s="12" t="inlineStr">
        <is>
          <t>Response Time (hrs)</t>
        </is>
      </c>
      <c r="B28" s="12" t="n">
        <v>36</v>
      </c>
      <c r="C28" s="12" t="n">
        <v>48</v>
      </c>
      <c r="D28" s="12" t="n">
        <v>24</v>
      </c>
    </row>
    <row r="29">
      <c r="A29" s="12" t="inlineStr">
        <is>
          <t>Conversion Rate %</t>
        </is>
      </c>
      <c r="B29" s="12" t="n">
        <v>13</v>
      </c>
      <c r="C29" s="12" t="n">
        <v>5</v>
      </c>
      <c r="D29" s="12" t="n">
        <v>8</v>
      </c>
    </row>
    <row r="30">
      <c r="A30" s="12" t="inlineStr">
        <is>
          <t>Marketing Spend/Mo</t>
        </is>
      </c>
      <c r="B30" s="16" t="n">
        <v>1500</v>
      </c>
      <c r="C30" s="16" t="n">
        <v>2500</v>
      </c>
      <c r="D30" s="16" t="n">
        <v>1800</v>
      </c>
    </row>
    <row r="31">
      <c r="A31" s="12" t="inlineStr">
        <is>
          <t>Support Calls/Wk</t>
        </is>
      </c>
      <c r="B31" s="12" t="n">
        <v>18</v>
      </c>
      <c r="C31" s="12" t="n">
        <v>15</v>
      </c>
      <c r="D31" s="12" t="n">
        <v>12</v>
      </c>
    </row>
    <row r="32">
      <c r="A32" s="12" t="inlineStr">
        <is>
          <t>Billing Hrs/Wk</t>
        </is>
      </c>
      <c r="B32" s="12" t="n">
        <v>8</v>
      </c>
      <c r="C32" s="12" t="n">
        <v>6</v>
      </c>
      <c r="D32" s="12" t="n">
        <v>5</v>
      </c>
    </row>
    <row r="33">
      <c r="A33" s="12" t="inlineStr">
        <is>
          <t>Missed Deadlines/Yr</t>
        </is>
      </c>
      <c r="B33" s="12" t="n">
        <v>2</v>
      </c>
      <c r="C33" s="12" t="n">
        <v>1</v>
      </c>
      <c r="D33" s="12" t="n">
        <v>1</v>
      </c>
    </row>
    <row r="35">
      <c r="A35" s="17" t="inlineStr">
        <is>
          <t>Note: Percentages are whole numbers (70 = 70%, 22 = 22%). Enter them exactly as shown into Your Firm Profile.</t>
        </is>
      </c>
    </row>
    <row r="37">
      <c r="A37" s="6" t="inlineStr">
        <is>
          <t>Disclaimer: All projections are estimates. Not financial, legal, or business advice. The Innovative Native LLC makes no warranties regarding accuracy. Consult qualified professionals.</t>
        </is>
      </c>
    </row>
    <row r="38">
      <c r="A38" s="6" t="inlineStr">
        <is>
          <t>© 2026 The Innovative Native LLC</t>
        </is>
      </c>
    </row>
  </sheetData>
  <mergeCells count="5">
    <mergeCell ref="A35:E35"/>
    <mergeCell ref="A12:E12"/>
    <mergeCell ref="A19:E19"/>
    <mergeCell ref="A1:E1"/>
    <mergeCell ref="A37:E3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2026-02-07T15:04:46Z</dcterms:created>
  <dcterms:modified xsi:type="dcterms:W3CDTF">2026-02-07T15:04:46Z</dcterms:modified>
</cp:coreProperties>
</file>